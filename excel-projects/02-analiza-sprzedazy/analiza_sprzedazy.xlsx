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e sprzedazy" sheetId="1" state="visible" r:id="rId3"/>
    <sheet name="Podsumowan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<sst xmlns="http://schemas.openxmlformats.org/spreadsheetml/2006/main" count="64" uniqueCount="32">
  <si>
    <t xml:space="preserve">Data</t>
  </si>
  <si>
    <t xml:space="preserve">Produkt</t>
  </si>
  <si>
    <t xml:space="preserve">Kategoria</t>
  </si>
  <si>
    <t xml:space="preserve">Ilosc</t>
  </si>
  <si>
    <t xml:space="preserve">Cena jedn.</t>
  </si>
  <si>
    <t xml:space="preserve">Wartosc</t>
  </si>
  <si>
    <t xml:space="preserve">2026-01-05</t>
  </si>
  <si>
    <t xml:space="preserve">Chleb</t>
  </si>
  <si>
    <t xml:space="preserve">Pieczywo</t>
  </si>
  <si>
    <t xml:space="preserve">Bulka</t>
  </si>
  <si>
    <t xml:space="preserve">2026-01-06</t>
  </si>
  <si>
    <t xml:space="preserve">Mleko</t>
  </si>
  <si>
    <t xml:space="preserve">Nabial</t>
  </si>
  <si>
    <t xml:space="preserve">Ser zolty</t>
  </si>
  <si>
    <t xml:space="preserve">2026-01-07</t>
  </si>
  <si>
    <t xml:space="preserve">Jablka</t>
  </si>
  <si>
    <t xml:space="preserve">Owoce</t>
  </si>
  <si>
    <t xml:space="preserve">Banany</t>
  </si>
  <si>
    <t xml:space="preserve">2026-01-08</t>
  </si>
  <si>
    <t xml:space="preserve">Jogurt</t>
  </si>
  <si>
    <t xml:space="preserve">2026-01-09</t>
  </si>
  <si>
    <t xml:space="preserve">Pomarancze</t>
  </si>
  <si>
    <t xml:space="preserve">2026-01-10</t>
  </si>
  <si>
    <t xml:space="preserve">Maslo</t>
  </si>
  <si>
    <t xml:space="preserve">2026-01-11</t>
  </si>
  <si>
    <t xml:space="preserve">2026-01-12</t>
  </si>
  <si>
    <t xml:space="preserve">Podsumowanie sprzedazy wg kategorii</t>
  </si>
  <si>
    <t xml:space="preserve">Dane licza sie automatycznie z arkusza 'Dane sprzedazy' (SUMA.JEZELI / LICZ.JEZELI)</t>
  </si>
  <si>
    <t xml:space="preserve">Wartosc sprzedazy</t>
  </si>
  <si>
    <t xml:space="preserve">Liczba transakcji</t>
  </si>
  <si>
    <t xml:space="preserve">Srednia wartosc</t>
  </si>
  <si>
    <t xml:space="preserve">RAZEM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</si>
</sst>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zl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B4530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40</v>
      </c>
      <c r="E2" s="3" t="n">
        <v>4.5</v>
      </c>
      <c r="F2" s="3" t="n">
        <f aca="false">D2*E2</f>
        <v>180</v>
      </c>
    </row>
    <row r="3" customFormat="false" ht="15" hidden="false" customHeight="false" outlineLevel="0" collapsed="false">
      <c r="A3" s="2" t="s">
        <v>6</v>
      </c>
      <c r="B3" s="2" t="s">
        <v>9</v>
      </c>
      <c r="C3" s="2" t="s">
        <v>8</v>
      </c>
      <c r="D3" s="2" t="n">
        <v>60</v>
      </c>
      <c r="E3" s="3" t="n">
        <v>1.2</v>
      </c>
      <c r="F3" s="3" t="n">
        <f aca="false">D3*E3</f>
        <v>72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2" t="n">
        <v>30</v>
      </c>
      <c r="E4" s="3" t="n">
        <v>3.4</v>
      </c>
      <c r="F4" s="3" t="n">
        <f aca="false">D4*E4</f>
        <v>102</v>
      </c>
    </row>
    <row r="5" customFormat="false" ht="15" hidden="false" customHeight="false" outlineLevel="0" collapsed="false">
      <c r="A5" s="2" t="s">
        <v>10</v>
      </c>
      <c r="B5" s="2" t="s">
        <v>13</v>
      </c>
      <c r="C5" s="2" t="s">
        <v>12</v>
      </c>
      <c r="D5" s="2" t="n">
        <v>12</v>
      </c>
      <c r="E5" s="3" t="n">
        <v>18.9</v>
      </c>
      <c r="F5" s="3" t="n">
        <f aca="false">D5*E5</f>
        <v>226.8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s">
        <v>16</v>
      </c>
      <c r="D6" s="2" t="n">
        <v>25</v>
      </c>
      <c r="E6" s="3" t="n">
        <v>3.99</v>
      </c>
      <c r="F6" s="3" t="n">
        <f aca="false">D6*E6</f>
        <v>99.75</v>
      </c>
    </row>
    <row r="7" customFormat="false" ht="15" hidden="false" customHeight="false" outlineLevel="0" collapsed="false">
      <c r="A7" s="2" t="s">
        <v>14</v>
      </c>
      <c r="B7" s="2" t="s">
        <v>17</v>
      </c>
      <c r="C7" s="2" t="s">
        <v>16</v>
      </c>
      <c r="D7" s="2" t="n">
        <v>35</v>
      </c>
      <c r="E7" s="3" t="n">
        <v>4.49</v>
      </c>
      <c r="F7" s="3" t="n">
        <f aca="false">D7*E7</f>
        <v>157.15</v>
      </c>
    </row>
    <row r="8" customFormat="false" ht="15" hidden="false" customHeight="false" outlineLevel="0" collapsed="false">
      <c r="A8" s="2" t="s">
        <v>18</v>
      </c>
      <c r="B8" s="2" t="s">
        <v>7</v>
      </c>
      <c r="C8" s="2" t="s">
        <v>8</v>
      </c>
      <c r="D8" s="2" t="n">
        <v>38</v>
      </c>
      <c r="E8" s="3" t="n">
        <v>4.5</v>
      </c>
      <c r="F8" s="3" t="n">
        <f aca="false">D8*E8</f>
        <v>171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12</v>
      </c>
      <c r="D9" s="2" t="n">
        <v>50</v>
      </c>
      <c r="E9" s="3" t="n">
        <v>2.2</v>
      </c>
      <c r="F9" s="3" t="n">
        <f aca="false">D9*E9</f>
        <v>110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16</v>
      </c>
      <c r="D10" s="2" t="n">
        <v>20</v>
      </c>
      <c r="E10" s="3" t="n">
        <v>5.2</v>
      </c>
      <c r="F10" s="3" t="n">
        <f aca="false">D10*E10</f>
        <v>104</v>
      </c>
    </row>
    <row r="11" customFormat="false" ht="15" hidden="false" customHeight="false" outlineLevel="0" collapsed="false">
      <c r="A11" s="2" t="s">
        <v>20</v>
      </c>
      <c r="B11" s="2" t="s">
        <v>9</v>
      </c>
      <c r="C11" s="2" t="s">
        <v>8</v>
      </c>
      <c r="D11" s="2" t="n">
        <v>55</v>
      </c>
      <c r="E11" s="3" t="n">
        <v>1.2</v>
      </c>
      <c r="F11" s="3" t="n">
        <f aca="false">D11*E11</f>
        <v>66</v>
      </c>
    </row>
    <row r="12" customFormat="false" ht="15" hidden="false" customHeight="false" outlineLevel="0" collapsed="false">
      <c r="A12" s="2" t="s">
        <v>22</v>
      </c>
      <c r="B12" s="2" t="s">
        <v>23</v>
      </c>
      <c r="C12" s="2" t="s">
        <v>12</v>
      </c>
      <c r="D12" s="2" t="n">
        <v>18</v>
      </c>
      <c r="E12" s="3" t="n">
        <v>6.9</v>
      </c>
      <c r="F12" s="3" t="n">
        <f aca="false">D12*E12</f>
        <v>124.2</v>
      </c>
    </row>
    <row r="13" customFormat="false" ht="15" hidden="false" customHeight="false" outlineLevel="0" collapsed="false">
      <c r="A13" s="2" t="s">
        <v>22</v>
      </c>
      <c r="B13" s="2" t="s">
        <v>15</v>
      </c>
      <c r="C13" s="2" t="s">
        <v>16</v>
      </c>
      <c r="D13" s="2" t="n">
        <v>30</v>
      </c>
      <c r="E13" s="3" t="n">
        <v>3.99</v>
      </c>
      <c r="F13" s="3" t="n">
        <f aca="false">D13*E13</f>
        <v>119.7</v>
      </c>
    </row>
    <row r="14" customFormat="false" ht="15" hidden="false" customHeight="false" outlineLevel="0" collapsed="false">
      <c r="A14" s="2" t="s">
        <v>24</v>
      </c>
      <c r="B14" s="2" t="s">
        <v>7</v>
      </c>
      <c r="C14" s="2" t="s">
        <v>8</v>
      </c>
      <c r="D14" s="2" t="n">
        <v>42</v>
      </c>
      <c r="E14" s="3" t="n">
        <v>4.5</v>
      </c>
      <c r="F14" s="3" t="n">
        <f aca="false">D14*E14</f>
        <v>189</v>
      </c>
    </row>
    <row r="15" customFormat="false" ht="15" hidden="false" customHeight="false" outlineLevel="0" collapsed="false">
      <c r="A15" s="2" t="s">
        <v>24</v>
      </c>
      <c r="B15" s="2" t="s">
        <v>11</v>
      </c>
      <c r="C15" s="2" t="s">
        <v>12</v>
      </c>
      <c r="D15" s="2" t="n">
        <v>33</v>
      </c>
      <c r="E15" s="3" t="n">
        <v>3.4</v>
      </c>
      <c r="F15" s="3" t="n">
        <f aca="false">D15*E15</f>
        <v>112.2</v>
      </c>
    </row>
    <row r="16" customFormat="false" ht="15" hidden="false" customHeight="false" outlineLevel="0" collapsed="false">
      <c r="A16" s="2" t="s">
        <v>25</v>
      </c>
      <c r="B16" s="2" t="s">
        <v>17</v>
      </c>
      <c r="C16" s="2" t="s">
        <v>16</v>
      </c>
      <c r="D16" s="2" t="n">
        <v>28</v>
      </c>
      <c r="E16" s="3" t="n">
        <v>4.49</v>
      </c>
      <c r="F16" s="3" t="n">
        <f aca="false">D16*E16</f>
        <v>125.72</v>
      </c>
    </row>
    <row r="17" customFormat="false" ht="15" hidden="false" customHeight="false" outlineLevel="0" collapsed="false">
      <c r="A17" s="2" t="s">
        <v>25</v>
      </c>
      <c r="B17" s="2" t="s">
        <v>19</v>
      </c>
      <c r="C17" s="2" t="s">
        <v>12</v>
      </c>
      <c r="D17" s="2" t="n">
        <v>45</v>
      </c>
      <c r="E17" s="3" t="n">
        <v>2.2</v>
      </c>
      <c r="F17" s="3" t="n">
        <f aca="false">D17*E17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</cols>
  <sheetData>
    <row r="2" customFormat="false" ht="19.7" hidden="false" customHeight="false" outlineLevel="0" collapsed="false">
      <c r="B2" s="4" t="s">
        <v>26</v>
      </c>
    </row>
    <row r="3" customFormat="false" ht="15" hidden="false" customHeight="false" outlineLevel="0" collapsed="false">
      <c r="B3" s="5" t="s">
        <v>27</v>
      </c>
    </row>
    <row r="5" customFormat="false" ht="15" hidden="false" customHeight="false" outlineLevel="0" collapsed="false">
      <c r="B5" s="1" t="s">
        <v>2</v>
      </c>
      <c r="C5" s="1" t="s">
        <v>28</v>
      </c>
      <c r="D5" s="1" t="s">
        <v>29</v>
      </c>
      <c r="E5" s="1" t="s">
        <v>30</v>
      </c>
    </row>
    <row r="6" customFormat="false" ht="15" hidden="false" customHeight="false" outlineLevel="0" collapsed="false">
      <c r="B6" s="2" t="s">
        <v>8</v>
      </c>
      <c r="C6" s="3" t="n">
        <f aca="false">SUMIF('Dane sprzedazy'!$C$2:$C$17,B6,'Dane sprzedazy'!$F$2:$F$17)</f>
        <v>678</v>
      </c>
      <c r="D6" s="2" t="n">
        <f aca="false">COUNTIF('Dane sprzedazy'!$C$2:$C$17,B6)</f>
        <v>5</v>
      </c>
      <c r="E6" s="3" t="n">
        <f aca="false">C6/D6</f>
        <v>135.6</v>
      </c>
    </row>
    <row r="7" customFormat="false" ht="15" hidden="false" customHeight="false" outlineLevel="0" collapsed="false">
      <c r="B7" s="2" t="s">
        <v>12</v>
      </c>
      <c r="C7" s="3" t="n">
        <f aca="false">SUMIF('Dane sprzedazy'!$C$2:$C$17,B7,'Dane sprzedazy'!$F$2:$F$17)</f>
        <v>774.2</v>
      </c>
      <c r="D7" s="2" t="n">
        <f aca="false">COUNTIF('Dane sprzedazy'!$C$2:$C$17,B7)</f>
        <v>6</v>
      </c>
      <c r="E7" s="3" t="n">
        <f aca="false">C7/D7</f>
        <v>129.033333333333</v>
      </c>
    </row>
    <row r="8" customFormat="false" ht="15" hidden="false" customHeight="false" outlineLevel="0" collapsed="false">
      <c r="B8" s="2" t="s">
        <v>16</v>
      </c>
      <c r="C8" s="3" t="n">
        <f aca="false">SUMIF('Dane sprzedazy'!$C$2:$C$17,B8,'Dane sprzedazy'!$F$2:$F$17)</f>
        <v>606.32</v>
      </c>
      <c r="D8" s="2" t="n">
        <f aca="false">COUNTIF('Dane sprzedazy'!$C$2:$C$17,B8)</f>
        <v>5</v>
      </c>
      <c r="E8" s="3" t="n">
        <f aca="false">C8/D8</f>
        <v>121.264</v>
      </c>
    </row>
    <row r="9" customFormat="false" ht="15" hidden="false" customHeight="false" outlineLevel="0" collapsed="false">
      <c r="B9" s="6" t="s">
        <v>31</v>
      </c>
      <c r="C9" s="7" t="n">
        <f aca="false">SUM(C6:C8)</f>
        <v>2058.52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2026-09-18T08:39:40Z</dcterms:created>
  <dc:creator>openpyxl</dc:creator>
  <dc:description/>
  <dc:language>en-US</dc:language>
  <cp:lastModifiedBy/>
  <dcterms:modified xsi:type="dcterms:W3CDTF">2026-09-18T08:39:40Z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